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ARWIN GARCIA\Documents\UNIVERSIDAD\8 SEMESTRE\Desarrollo Mobile\Ct_3_bolsa de empleo movile\"/>
    </mc:Choice>
  </mc:AlternateContent>
  <xr:revisionPtr revIDLastSave="0" documentId="13_ncr:1_{1209B05F-9CB4-472F-84E0-CB6B9AA0BD10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Matriz" sheetId="1" r:id="rId1"/>
    <sheet name="Mapa de cal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1" l="1"/>
  <c r="H5" i="1"/>
  <c r="H6" i="1"/>
  <c r="H7" i="1"/>
  <c r="H8" i="1"/>
  <c r="H9" i="1"/>
  <c r="H10" i="1"/>
  <c r="H11" i="1"/>
  <c r="H12" i="1"/>
  <c r="H13" i="1"/>
  <c r="H14" i="1"/>
  <c r="H15" i="1"/>
  <c r="J16" i="2"/>
  <c r="D4" i="2" a="1"/>
  <c r="D4" i="2" s="1"/>
  <c r="G7" i="2" a="1"/>
  <c r="G7" i="2" s="1"/>
  <c r="F7" i="2" a="1"/>
  <c r="F7" i="2" s="1"/>
  <c r="E7" i="2" a="1"/>
  <c r="E7" i="2" s="1"/>
  <c r="D7" i="2" a="1"/>
  <c r="D7" i="2" s="1"/>
  <c r="C7" i="2" a="1"/>
  <c r="C7" i="2" s="1"/>
  <c r="G6" i="2" a="1"/>
  <c r="G6" i="2" s="1"/>
  <c r="F6" i="2" a="1"/>
  <c r="F6" i="2" s="1"/>
  <c r="E6" i="2" a="1"/>
  <c r="E6" i="2" s="1"/>
  <c r="D6" i="2" a="1"/>
  <c r="D6" i="2" s="1"/>
  <c r="C6" i="2" a="1"/>
  <c r="C6" i="2" s="1"/>
  <c r="D5" i="2" a="1"/>
  <c r="D5" i="2" s="1"/>
  <c r="C5" i="2" a="1"/>
  <c r="C5" i="2" s="1"/>
  <c r="G4" i="2" a="1"/>
  <c r="G4" i="2" s="1"/>
  <c r="C4" i="2" a="1"/>
  <c r="C4" i="2" s="1"/>
  <c r="G3" i="2" a="1"/>
  <c r="G3" i="2" s="1"/>
  <c r="F3" i="2" a="1"/>
  <c r="F3" i="2" s="1"/>
  <c r="E3" i="2" a="1"/>
  <c r="E3" i="2" s="1"/>
  <c r="D3" i="2" a="1"/>
  <c r="D3" i="2" s="1"/>
  <c r="C3" i="2" a="1"/>
  <c r="C3" i="2" s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<sst xmlns="http://schemas.openxmlformats.org/spreadsheetml/2006/main" count="129" uniqueCount="102">
  <si>
    <t>Nivel = Probabilidad × Impacto (se calcula solo). Escala: 1–4 Bajo · 5–9 Medio · 10–14 Alto · 15–25 Crítico. Edite solo P e I; el nivel, la clasificación y el mapa de calor se actualizan.</t>
  </si>
  <si>
    <t>ID</t>
  </si>
  <si>
    <t>Categoría</t>
  </si>
  <si>
    <t>P</t>
  </si>
  <si>
    <t>I</t>
  </si>
  <si>
    <t>Nivel</t>
  </si>
  <si>
    <t>Clasificación</t>
  </si>
  <si>
    <t>Estrategia</t>
  </si>
  <si>
    <t>Mitigación (preventiva)</t>
  </si>
  <si>
    <t>Contingencia (si ocurre)</t>
  </si>
  <si>
    <t>Indicador de alerta</t>
  </si>
  <si>
    <t>Responsable</t>
  </si>
  <si>
    <t>Apoyo</t>
  </si>
  <si>
    <t>R-01</t>
  </si>
  <si>
    <t>Operativo / Empresas</t>
  </si>
  <si>
    <t>Mitigar</t>
  </si>
  <si>
    <t>• Listar ≥10 empresas objetivo con apoyo de Egresados/Prácticas
• Carta de presentación de UNIPAZ
• Formulario de publicación de vacante corto
• Cargar vacantes iniciales validadas por UNIPAZ
• Recordatorio a la empresa con postulaciones sin respuesta</t>
  </si>
  <si>
    <t>Demo con vacantes de ejemplo validadas por UNIPAZ; estado automático «recibida» mientras la empresa responde.</t>
  </si>
  <si>
    <t>Empresas y vacantes activas antes de validar (meta propuesta: 5 y 15); % de postulaciones con estado actualizado en 5 días.</t>
  </si>
  <si>
    <t>Andrés (PO)</t>
  </si>
  <si>
    <t>Juan José</t>
  </si>
  <si>
    <t>R-02</t>
  </si>
  <si>
    <t>Normativo / Datos personales</t>
  </si>
  <si>
    <t>• Aceptar la política antes del primer uso (guardar fecha y versión)
• Pedir solo los datos necesarios
• CV visible solo para la empresa a la que se postula
• Política revisada por la asesoría jurídica de UNIPAZ
• Consultar RNBD y qué implica alojar datos fuera de Colombia</t>
  </si>
  <si>
    <t>Suspender registros hasta corregir; atender reclamos con apoyo jurídico.</t>
  </si>
  <si>
    <t>100 % de usuarios con aceptación registrada; reclamos de titulares recibidos.</t>
  </si>
  <si>
    <t>Cristian</t>
  </si>
  <si>
    <t>R-03</t>
  </si>
  <si>
    <t>Normativo / SPE</t>
  </si>
  <si>
    <t>Evitar / Mitigar</t>
  </si>
  <si>
    <t>• Concepto escrito de UNIPAZ (jurídica y Egresados) y consulta a la Unidad del SPE
• Mantener en el alcance «intermediación y trazabilidad, no contratación»
• Estados de vacante y postulación compatibles con el SPE</t>
  </si>
  <si>
    <t>Modo «contacto directo»: la app muestra la vacante y enlaza a la empresa, sin recibir CV.</t>
  </si>
  <si>
    <t>Concepto escrito recibido antes del sprint de postulaciones.</t>
  </si>
  <si>
    <t>R-04</t>
  </si>
  <si>
    <t>Seguridad / API y archivos</t>
  </si>
  <si>
    <t>• Validar el ID token de Google en el servidor
• Autorización por rol y por propietario en cada endpoint
• Validar entradas y limitar peticiones
• Verificar tipo real y 5 MB del PDF en el servidor
• Almacenamiento privado con URLs temporales
• OWASP API Top 10 por sprint y npm audit
• Pruebas de acceso entre usuarios</t>
  </si>
  <si>
    <t>Revocar sesiones, rotar secretos y desplegar parche; informar a UNIPAZ, a los titulares y a la SIC si aplica.</t>
  </si>
  <si>
    <t>Vulnerabilidades críticas abiertas = 0 al cerrar cada sprint; pruebas de acceso fallidas.</t>
  </si>
  <si>
    <t>Cristian (Backend)</t>
  </si>
  <si>
    <t>R-05</t>
  </si>
  <si>
    <t>Seguridad / Repositorio público</t>
  </si>
  <si>
    <t>• .env en .gitignore y variables en el host
• Activar secret scanning de GitHub
• Revisar el historial de commits
• Anonimizar datos de validación (o pasar el repo a privado)</t>
  </si>
  <si>
    <t>Rotar credenciales de inmediato, eliminar lo expuesto y avisar a los afectados.</t>
  </si>
  <si>
    <t>Alertas de secret scanning = 0; datos personales en docs = 0.</t>
  </si>
  <si>
    <t>Juan José (Scrum Master)</t>
  </si>
  <si>
    <t>R-06</t>
  </si>
  <si>
    <t>Técnico / Verificación de usuarios</t>
  </si>
  <si>
    <t>• Restringir al dominio institucional (si UNIPAZ usa Google Workspace)
• Si no, acordar con Sistemas una lista de validación
• Definir cómo se distingue cada perfil</t>
  </si>
  <si>
    <t>Validación manual por el administrador; suspender cuentas no verificadas.</t>
  </si>
  <si>
    <t>Cuentas fuera del dominio institucional; cuentas marcadas por el administrador.</t>
  </si>
  <si>
    <t>Andrés</t>
  </si>
  <si>
    <t>R-07</t>
  </si>
  <si>
    <t>Calidad / Fraude</t>
  </si>
  <si>
    <t>• Subir HU-08 a Must (empresa «pendiente» hasta aprobar)
• Verificar NIT y existencia legal (RUES)
• Términos que prohíban cobrar al candidato
• Botón para reportar vacantes</t>
  </si>
  <si>
    <t>Despublicar, suspender a la empresa y notificar por push a quienes se postularon.</t>
  </si>
  <si>
    <t>Empresas publicando sin aprobar = 0; reportes por vacante; tiempo de revisión.</t>
  </si>
  <si>
    <t>R-08</t>
  </si>
  <si>
    <t>Técnico / Móvil y distribución</t>
  </si>
  <si>
    <t>• Spike en el primer sprint técnico: login Google, DocumentPicker y push en un Android real
• Decidir pronto entre Expo Go y build de desarrollo/EAS
• Configurar FCM
• Dejar lista la pantalla de consentimiento OAuth antes de validar</t>
  </si>
  <si>
    <t>APK de desarrollo firmado; alertas dentro de la app o por correo como alternativa a la push.</t>
  </si>
  <si>
    <t>HU-01, HU-05 y HU-06 probadas en dispositivo real al cerrar el sprint 2 (propuesta); builds fallidos.</t>
  </si>
  <si>
    <t>Darwin (Frontend)</t>
  </si>
  <si>
    <t>R-09</t>
  </si>
  <si>
    <t>Funcional / Calidad de datos</t>
  </si>
  <si>
    <t>• Franjas estructuradas (día y hora) en perfil y vacante
• Fecha de cierre obligatoria y cierre automático
• Casos de borde del filtro en los criterios Gherkin</t>
  </si>
  <si>
    <t>Filtro por franjas amplias (mañana/tarde/noche/fin de semana); cierre manual por el admin.</t>
  </si>
  <si>
    <t>Vacantes sin franja o sin fecha = 0; errores del filtro en pruebas.</t>
  </si>
  <si>
    <t>Darwin</t>
  </si>
  <si>
    <t>R-10</t>
  </si>
  <si>
    <t>Gestión / Alcance y tiempo</t>
  </si>
  <si>
    <t>• Recalcular la regla del 60 %
• Congelar alcance (lista Won't)
• Recortar Should/Could primero
• Revisar burndown cada semana
• Aplicar la Definición de Terminado</t>
  </si>
  <si>
    <t>Pasar Should a trabajo futuro y entregar un flujo mínimo completo (login → vacante → postulación → estado).</t>
  </si>
  <si>
    <t>Puntos completados vs. planeados (alerta: &lt;70 % en dos sprints seguidos); Must abiertos a 4 semanas del cierre.</t>
  </si>
  <si>
    <t>R-11</t>
  </si>
  <si>
    <t>Operativo / Estudiantes</t>
  </si>
  <si>
    <t>• Convocatoria con Bienestar y redes de UNIPAZ
• Guía o QR de instalación
• Sesiones presenciales de instalación
• Confirmar participantes con anticipación</t>
  </si>
  <si>
    <t>Segunda convocatoria; prestar dispositivos Android para la prueba.</t>
  </si>
  <si>
    <t>Instalaciones / participantes previstos; abandono antes del primer registro.</t>
  </si>
  <si>
    <t>R-12</t>
  </si>
  <si>
    <t>Usabilidad / Rendimiento</t>
  </si>
  <si>
    <t>• Prototipos validados con estudiantes (docs/validacion)
• Heurísticas de Nielsen e ISO 9241-11
• Paginación, estados de carga y mensajes sin conexión
• Probar en ≥2 equipos de gama baja</t>
  </si>
  <si>
    <t>Sprint de rediseño de las pantallas con peor resultado.</t>
  </si>
  <si>
    <t>Postulación &lt;2 min en ≥80 % de pruebas; SUS ≥68 (metas propuestas).</t>
  </si>
  <si>
    <t>P ↓ / I →</t>
  </si>
  <si>
    <t>Leyenda de colores (por posición en la matriz): verde 1–4 Bajo · amarillo 5–9 Medio · naranja 10–14 Alto · rojo 15–25 Crítico.</t>
  </si>
  <si>
    <t xml:space="preserve"> Must sin terminar al cierre del semestre.</t>
  </si>
  <si>
    <t xml:space="preserve">Riesgo </t>
  </si>
  <si>
    <t>abandono y objetivo del producto sin cumplir.</t>
  </si>
  <si>
    <t>pocos participantes en la validación y estudiantes con iPhone excluidos.</t>
  </si>
  <si>
    <t>el filtro por disponibilidad falla y se repite el problema de ofertas vencidas.</t>
  </si>
  <si>
    <t xml:space="preserve"> fallan en la demo o en el Hito 3.</t>
  </si>
  <si>
    <t>empresas sin verificar publican, hay posibles cobros o engaños y se contradice la promesa de ofertas verificadas</t>
  </si>
  <si>
    <t>vacantes y datos para quien no corresponde.</t>
  </si>
  <si>
    <t xml:space="preserve"> filtración.</t>
  </si>
  <si>
    <t>exposición de CV.</t>
  </si>
  <si>
    <t>puede verse como gestión y colocación de empleo sin autorización, o UNIPAZ no la avala.</t>
  </si>
  <si>
    <t>reclamos o sanción (Ley 1581 de 2012).</t>
  </si>
  <si>
    <t>app vacía y el dolor principal, no saber qué paso, sigue igual.</t>
  </si>
  <si>
    <t>R-06,  R-10</t>
  </si>
  <si>
    <t>R-11, R-12</t>
  </si>
  <si>
    <t>R-02, R-03</t>
  </si>
  <si>
    <t>R-04, R-05, R-07,R-08, R-09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</si>
</sst>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&quot; · Insignificante&quot;"/>
    <numFmt numFmtId="165" formatCode="0&quot; · Menor&quot;"/>
    <numFmt numFmtId="166" formatCode="0&quot; · Moderado&quot;"/>
    <numFmt numFmtId="167" formatCode="0&quot; · Mayor&quot;"/>
    <numFmt numFmtId="168" formatCode="0&quot; · Catastrófico&quot;"/>
    <numFmt numFmtId="169" formatCode="0&quot; · Muy alta&quot;"/>
    <numFmt numFmtId="170" formatCode="0&quot; · Alta&quot;"/>
    <numFmt numFmtId="171" formatCode="0&quot; · Media&quot;"/>
    <numFmt numFmtId="172" formatCode="0&quot; · Baja&quot;"/>
    <numFmt numFmtId="173" formatCode="0&quot; · Muy baja&quot;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FF7C80"/>
        <bgColor rgb="FFFF99CC"/>
      </patternFill>
    </fill>
    <fill>
      <patternFill patternType="solid">
        <fgColor rgb="FFC6E0B4"/>
        <bgColor rgb="FFBFBFB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71" fontId="3" fillId="2" borderId="1" xfId="0" applyNumberFormat="1" applyFont="1" applyFill="1" applyBorder="1" applyAlignment="1">
      <alignment horizontal="center" vertical="center"/>
    </xf>
    <xf numFmtId="172" fontId="3" fillId="2" borderId="1" xfId="0" applyNumberFormat="1" applyFont="1" applyFill="1" applyBorder="1" applyAlignment="1">
      <alignment horizontal="center" vertical="center"/>
    </xf>
    <xf numFmtId="173" fontId="3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rgb="FFFFE699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rgb="FFFF5050"/>
        </patternFill>
      </fill>
    </dxf>
    <dxf>
      <font>
        <color theme="1"/>
      </font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FF5050"/>
        </patternFill>
      </fill>
    </dxf>
    <dxf>
      <font>
        <color rgb="FFFF5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6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914FC0-C1B3-4F6E-98C8-886D9F718560}" name="Bolsa_Empleo_UNIPAZ_App" displayName="Bolsa_Empleo_UNIPAZ_App" ref="B4:N16" totalsRowShown="0" headerRowDxfId="30" dataDxfId="15" headerRowBorderDxfId="32" tableBorderDxfId="33" totalsRowBorderDxfId="31">
  <autoFilter ref="B4:N16" xr:uid="{91914FC0-C1B3-4F6E-98C8-886D9F718560}"/>
  <tableColumns count="13">
    <tableColumn id="1" xr3:uid="{78EBEC56-560C-440A-9FFB-563B0A4980F4}" name="ID" dataDxfId="25"/>
    <tableColumn id="2" xr3:uid="{5186BC78-25B4-455F-9299-4655EFBE1E83}" name="Categoría" dataDxfId="24"/>
    <tableColumn id="3" xr3:uid="{92EB2E77-6CF7-4479-81C8-938ECCB8311A}" name="Riesgo " dataDxfId="23"/>
    <tableColumn id="4" xr3:uid="{DDA5EEC5-C2AA-4FCD-8D44-5EA6A4A1805D}" name="P" dataDxfId="22"/>
    <tableColumn id="5" xr3:uid="{40731116-5F98-435A-AF9F-DAC3F86A2759}" name="I" dataDxfId="21"/>
    <tableColumn id="6" xr3:uid="{445D41DF-8217-4A3D-B735-D01F26708749}" name="Nivel" dataDxfId="12">
      <calculatedColumnFormula>E5*F5</calculatedColumnFormula>
    </tableColumn>
    <tableColumn id="7" xr3:uid="{2CFECCAD-AEE8-4CAB-9495-FE4B7F23BE98}" name="Clasificación" dataDxfId="10">
      <calculatedColumnFormula>IF(G5&gt;=15,"Crítico",IF(G5&gt;=10,"Alto",IF(G5&gt;=5,"Medio","Bajo")))</calculatedColumnFormula>
    </tableColumn>
    <tableColumn id="8" xr3:uid="{9B31E9EE-7C77-443C-A170-3F050E0FC5D8}" name="Estrategia" dataDxfId="11"/>
    <tableColumn id="9" xr3:uid="{5BD4EC76-217C-4937-95D4-DF956DF9B9BD}" name="Mitigación (preventiva)" dataDxfId="20"/>
    <tableColumn id="10" xr3:uid="{59900517-1B17-4BE0-8FD3-32774D316776}" name="Contingencia (si ocurre)" dataDxfId="19"/>
    <tableColumn id="11" xr3:uid="{D9CEB3D3-D794-484D-BF15-23983F0B0EBA}" name="Indicador de alerta" dataDxfId="18"/>
    <tableColumn id="12" xr3:uid="{22C7171B-4FFD-45AE-82A2-AA8F9F4B2719}" name="Responsable" dataDxfId="17"/>
    <tableColumn id="13" xr3:uid="{2F6FEC80-8C6F-40D4-AD20-7DC5BEB22EF8}" name="Apoyo" dataDxfId="1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zoomScale="90" zoomScaleNormal="90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J8" sqref="J8"/>
    </sheetView>
  </sheetViews>
  <sheetFormatPr baseColWidth="10" defaultColWidth="8.7109375" defaultRowHeight="15" x14ac:dyDescent="0.25"/>
  <cols>
    <col min="2" max="2" width="8" customWidth="1"/>
    <col min="3" max="3" width="22" customWidth="1"/>
    <col min="4" max="4" width="36.85546875" customWidth="1"/>
    <col min="5" max="5" width="7.5703125" style="20" bestFit="1" customWidth="1"/>
    <col min="6" max="6" width="6.85546875" style="20" bestFit="1" customWidth="1"/>
    <col min="7" max="7" width="8" style="20" customWidth="1"/>
    <col min="8" max="8" width="19" style="20" bestFit="1" customWidth="1"/>
    <col min="9" max="9" width="16.140625" bestFit="1" customWidth="1"/>
    <col min="10" max="10" width="63.5703125" bestFit="1" customWidth="1"/>
    <col min="11" max="11" width="41.28515625" customWidth="1"/>
    <col min="12" max="12" width="37.28515625" customWidth="1"/>
    <col min="13" max="13" width="18.5703125" customWidth="1"/>
    <col min="14" max="14" width="12" customWidth="1"/>
  </cols>
  <sheetData>
    <row r="1" spans="2:14" ht="18" x14ac:dyDescent="0.25">
      <c r="B1" s="1"/>
    </row>
    <row r="2" spans="2:14" hidden="1" x14ac:dyDescent="0.25">
      <c r="B2" s="2" t="s">
        <v>0</v>
      </c>
    </row>
    <row r="4" spans="2:14" ht="30" customHeight="1" x14ac:dyDescent="0.25">
      <c r="B4" s="23" t="s">
        <v>1</v>
      </c>
      <c r="C4" s="24" t="s">
        <v>2</v>
      </c>
      <c r="D4" s="24" t="s">
        <v>86</v>
      </c>
      <c r="E4" s="24" t="s">
        <v>3</v>
      </c>
      <c r="F4" s="24" t="s">
        <v>4</v>
      </c>
      <c r="G4" s="24" t="s">
        <v>5</v>
      </c>
      <c r="H4" s="24" t="s">
        <v>6</v>
      </c>
      <c r="I4" s="24" t="s">
        <v>7</v>
      </c>
      <c r="J4" s="24" t="s">
        <v>8</v>
      </c>
      <c r="K4" s="24" t="s">
        <v>9</v>
      </c>
      <c r="L4" s="24" t="s">
        <v>10</v>
      </c>
      <c r="M4" s="24" t="s">
        <v>11</v>
      </c>
      <c r="N4" s="25" t="s">
        <v>12</v>
      </c>
    </row>
    <row r="5" spans="2:14" ht="71.25" x14ac:dyDescent="0.25">
      <c r="B5" s="26" t="s">
        <v>13</v>
      </c>
      <c r="C5" s="18" t="s">
        <v>14</v>
      </c>
      <c r="D5" s="18" t="s">
        <v>97</v>
      </c>
      <c r="E5" s="18">
        <v>4</v>
      </c>
      <c r="F5" s="18">
        <v>4</v>
      </c>
      <c r="G5" s="27">
        <f t="shared" ref="G5:G16" si="0">E5*F5</f>
        <v>16</v>
      </c>
      <c r="H5" s="32" t="str">
        <f>IF(G5&gt;=15,"Crítico",IF(G5&gt;=10,"Alto",IF(G5&gt;=5,"Medio","Bajo")))</f>
        <v>Crítico</v>
      </c>
      <c r="I5" s="18" t="s">
        <v>15</v>
      </c>
      <c r="J5" s="21" t="s">
        <v>16</v>
      </c>
      <c r="K5" s="18" t="s">
        <v>17</v>
      </c>
      <c r="L5" s="18" t="s">
        <v>18</v>
      </c>
      <c r="M5" s="18" t="s">
        <v>19</v>
      </c>
      <c r="N5" s="28" t="s">
        <v>20</v>
      </c>
    </row>
    <row r="6" spans="2:14" ht="71.25" x14ac:dyDescent="0.25">
      <c r="B6" s="26" t="s">
        <v>21</v>
      </c>
      <c r="C6" s="18" t="s">
        <v>22</v>
      </c>
      <c r="D6" s="18" t="s">
        <v>96</v>
      </c>
      <c r="E6" s="18">
        <v>3</v>
      </c>
      <c r="F6" s="18">
        <v>5</v>
      </c>
      <c r="G6" s="27">
        <f t="shared" si="0"/>
        <v>15</v>
      </c>
      <c r="H6" s="32" t="str">
        <f t="shared" ref="H6:H15" si="1">IF(G6&gt;=15,"Crítico",IF(G6&gt;=10,"Alto",IF(G6&gt;=5,"Medio","Bajo")))</f>
        <v>Crítico</v>
      </c>
      <c r="I6" s="18" t="s">
        <v>15</v>
      </c>
      <c r="J6" s="21" t="s">
        <v>23</v>
      </c>
      <c r="K6" s="18" t="s">
        <v>24</v>
      </c>
      <c r="L6" s="18" t="s">
        <v>25</v>
      </c>
      <c r="M6" s="18" t="s">
        <v>19</v>
      </c>
      <c r="N6" s="28" t="s">
        <v>26</v>
      </c>
    </row>
    <row r="7" spans="2:14" ht="71.25" x14ac:dyDescent="0.25">
      <c r="B7" s="26" t="s">
        <v>27</v>
      </c>
      <c r="C7" s="18" t="s">
        <v>28</v>
      </c>
      <c r="D7" s="18" t="s">
        <v>95</v>
      </c>
      <c r="E7" s="18">
        <v>3</v>
      </c>
      <c r="F7" s="18">
        <v>5</v>
      </c>
      <c r="G7" s="27">
        <f t="shared" si="0"/>
        <v>15</v>
      </c>
      <c r="H7" s="32" t="str">
        <f t="shared" si="1"/>
        <v>Crítico</v>
      </c>
      <c r="I7" s="18" t="s">
        <v>29</v>
      </c>
      <c r="J7" s="21" t="s">
        <v>30</v>
      </c>
      <c r="K7" s="18" t="s">
        <v>31</v>
      </c>
      <c r="L7" s="18" t="s">
        <v>32</v>
      </c>
      <c r="M7" s="18" t="s">
        <v>19</v>
      </c>
      <c r="N7" s="28" t="s">
        <v>20</v>
      </c>
    </row>
    <row r="8" spans="2:14" ht="99.75" x14ac:dyDescent="0.25">
      <c r="B8" s="26" t="s">
        <v>33</v>
      </c>
      <c r="C8" s="18" t="s">
        <v>34</v>
      </c>
      <c r="D8" s="18" t="s">
        <v>94</v>
      </c>
      <c r="E8" s="18">
        <v>3</v>
      </c>
      <c r="F8" s="18">
        <v>4</v>
      </c>
      <c r="G8" s="27">
        <f t="shared" si="0"/>
        <v>12</v>
      </c>
      <c r="H8" s="32" t="str">
        <f t="shared" si="1"/>
        <v>Alto</v>
      </c>
      <c r="I8" s="18" t="s">
        <v>15</v>
      </c>
      <c r="J8" s="21" t="s">
        <v>35</v>
      </c>
      <c r="K8" s="18" t="s">
        <v>36</v>
      </c>
      <c r="L8" s="18" t="s">
        <v>37</v>
      </c>
      <c r="M8" s="18" t="s">
        <v>38</v>
      </c>
      <c r="N8" s="28" t="s">
        <v>20</v>
      </c>
    </row>
    <row r="9" spans="2:14" ht="57" x14ac:dyDescent="0.25">
      <c r="B9" s="26" t="s">
        <v>39</v>
      </c>
      <c r="C9" s="21" t="s">
        <v>40</v>
      </c>
      <c r="D9" s="18" t="s">
        <v>93</v>
      </c>
      <c r="E9" s="18">
        <v>3</v>
      </c>
      <c r="F9" s="18">
        <v>4</v>
      </c>
      <c r="G9" s="27">
        <f t="shared" si="0"/>
        <v>12</v>
      </c>
      <c r="H9" s="32" t="str">
        <f t="shared" si="1"/>
        <v>Alto</v>
      </c>
      <c r="I9" s="18" t="s">
        <v>15</v>
      </c>
      <c r="J9" s="21" t="s">
        <v>41</v>
      </c>
      <c r="K9" s="18" t="s">
        <v>42</v>
      </c>
      <c r="L9" s="18" t="s">
        <v>43</v>
      </c>
      <c r="M9" s="18" t="s">
        <v>44</v>
      </c>
      <c r="N9" s="28" t="s">
        <v>26</v>
      </c>
    </row>
    <row r="10" spans="2:14" ht="57" x14ac:dyDescent="0.25">
      <c r="B10" s="26" t="s">
        <v>45</v>
      </c>
      <c r="C10" s="21" t="s">
        <v>46</v>
      </c>
      <c r="D10" s="18" t="s">
        <v>92</v>
      </c>
      <c r="E10" s="18">
        <v>4</v>
      </c>
      <c r="F10" s="18">
        <v>3</v>
      </c>
      <c r="G10" s="27">
        <f t="shared" si="0"/>
        <v>12</v>
      </c>
      <c r="H10" s="32" t="str">
        <f t="shared" si="1"/>
        <v>Alto</v>
      </c>
      <c r="I10" s="18" t="s">
        <v>15</v>
      </c>
      <c r="J10" s="21" t="s">
        <v>47</v>
      </c>
      <c r="K10" s="18" t="s">
        <v>48</v>
      </c>
      <c r="L10" s="18" t="s">
        <v>49</v>
      </c>
      <c r="M10" s="18" t="s">
        <v>38</v>
      </c>
      <c r="N10" s="28" t="s">
        <v>50</v>
      </c>
    </row>
    <row r="11" spans="2:14" ht="57" x14ac:dyDescent="0.25">
      <c r="B11" s="26" t="s">
        <v>51</v>
      </c>
      <c r="C11" s="21" t="s">
        <v>52</v>
      </c>
      <c r="D11" s="18" t="s">
        <v>91</v>
      </c>
      <c r="E11" s="18">
        <v>3</v>
      </c>
      <c r="F11" s="18">
        <v>4</v>
      </c>
      <c r="G11" s="27">
        <f t="shared" si="0"/>
        <v>12</v>
      </c>
      <c r="H11" s="32" t="str">
        <f t="shared" si="1"/>
        <v>Alto</v>
      </c>
      <c r="I11" s="18" t="s">
        <v>15</v>
      </c>
      <c r="J11" s="21" t="s">
        <v>53</v>
      </c>
      <c r="K11" s="18" t="s">
        <v>54</v>
      </c>
      <c r="L11" s="18" t="s">
        <v>55</v>
      </c>
      <c r="M11" s="18" t="s">
        <v>19</v>
      </c>
      <c r="N11" s="28" t="s">
        <v>26</v>
      </c>
    </row>
    <row r="12" spans="2:14" ht="71.25" x14ac:dyDescent="0.25">
      <c r="B12" s="26" t="s">
        <v>56</v>
      </c>
      <c r="C12" s="21" t="s">
        <v>57</v>
      </c>
      <c r="D12" s="18" t="s">
        <v>90</v>
      </c>
      <c r="E12" s="18">
        <v>3</v>
      </c>
      <c r="F12" s="18">
        <v>4</v>
      </c>
      <c r="G12" s="27">
        <f t="shared" si="0"/>
        <v>12</v>
      </c>
      <c r="H12" s="32" t="str">
        <f t="shared" si="1"/>
        <v>Alto</v>
      </c>
      <c r="I12" s="18" t="s">
        <v>15</v>
      </c>
      <c r="J12" s="21" t="s">
        <v>58</v>
      </c>
      <c r="K12" s="18" t="s">
        <v>59</v>
      </c>
      <c r="L12" s="18" t="s">
        <v>60</v>
      </c>
      <c r="M12" s="18" t="s">
        <v>61</v>
      </c>
      <c r="N12" s="28" t="s">
        <v>26</v>
      </c>
    </row>
    <row r="13" spans="2:14" ht="42.75" x14ac:dyDescent="0.25">
      <c r="B13" s="26" t="s">
        <v>62</v>
      </c>
      <c r="C13" s="21" t="s">
        <v>63</v>
      </c>
      <c r="D13" s="18" t="s">
        <v>89</v>
      </c>
      <c r="E13" s="18">
        <v>3</v>
      </c>
      <c r="F13" s="18">
        <v>4</v>
      </c>
      <c r="G13" s="27">
        <f t="shared" si="0"/>
        <v>12</v>
      </c>
      <c r="H13" s="32" t="str">
        <f t="shared" si="1"/>
        <v>Alto</v>
      </c>
      <c r="I13" s="18" t="s">
        <v>15</v>
      </c>
      <c r="J13" s="21" t="s">
        <v>64</v>
      </c>
      <c r="K13" s="18" t="s">
        <v>65</v>
      </c>
      <c r="L13" s="18" t="s">
        <v>66</v>
      </c>
      <c r="M13" s="18" t="s">
        <v>38</v>
      </c>
      <c r="N13" s="28" t="s">
        <v>67</v>
      </c>
    </row>
    <row r="14" spans="2:14" ht="66" customHeight="1" x14ac:dyDescent="0.25">
      <c r="B14" s="26" t="s">
        <v>68</v>
      </c>
      <c r="C14" s="21" t="s">
        <v>69</v>
      </c>
      <c r="D14" s="18" t="s">
        <v>85</v>
      </c>
      <c r="E14" s="18">
        <v>4</v>
      </c>
      <c r="F14" s="18">
        <v>3</v>
      </c>
      <c r="G14" s="27">
        <f t="shared" si="0"/>
        <v>12</v>
      </c>
      <c r="H14" s="32" t="str">
        <f t="shared" si="1"/>
        <v>Alto</v>
      </c>
      <c r="I14" s="18" t="s">
        <v>15</v>
      </c>
      <c r="J14" s="21" t="s">
        <v>70</v>
      </c>
      <c r="K14" s="18" t="s">
        <v>71</v>
      </c>
      <c r="L14" s="18" t="s">
        <v>72</v>
      </c>
      <c r="M14" s="18" t="s">
        <v>44</v>
      </c>
      <c r="N14" s="28" t="s">
        <v>50</v>
      </c>
    </row>
    <row r="15" spans="2:14" ht="57" x14ac:dyDescent="0.25">
      <c r="B15" s="26" t="s">
        <v>73</v>
      </c>
      <c r="C15" s="21" t="s">
        <v>74</v>
      </c>
      <c r="D15" s="18" t="s">
        <v>88</v>
      </c>
      <c r="E15" s="18">
        <v>3</v>
      </c>
      <c r="F15" s="18">
        <v>3</v>
      </c>
      <c r="G15" s="27">
        <f t="shared" si="0"/>
        <v>9</v>
      </c>
      <c r="H15" s="32" t="str">
        <f t="shared" si="1"/>
        <v>Medio</v>
      </c>
      <c r="I15" s="18" t="s">
        <v>15</v>
      </c>
      <c r="J15" s="21" t="s">
        <v>75</v>
      </c>
      <c r="K15" s="18" t="s">
        <v>76</v>
      </c>
      <c r="L15" s="18" t="s">
        <v>77</v>
      </c>
      <c r="M15" s="18" t="s">
        <v>44</v>
      </c>
      <c r="N15" s="28" t="s">
        <v>50</v>
      </c>
    </row>
    <row r="16" spans="2:14" ht="57" x14ac:dyDescent="0.25">
      <c r="B16" s="29" t="s">
        <v>78</v>
      </c>
      <c r="C16" s="22" t="s">
        <v>79</v>
      </c>
      <c r="D16" s="19" t="s">
        <v>87</v>
      </c>
      <c r="E16" s="19">
        <v>3</v>
      </c>
      <c r="F16" s="19">
        <v>3</v>
      </c>
      <c r="G16" s="30">
        <f t="shared" si="0"/>
        <v>9</v>
      </c>
      <c r="H16" s="33" t="str">
        <f>IF(G16&gt;=15,"Crítico",IF(G16&gt;=10,"Alto",IF(G16&gt;=5,"Medio","Bajo")))</f>
        <v>Medio</v>
      </c>
      <c r="I16" s="19" t="s">
        <v>15</v>
      </c>
      <c r="J16" s="22" t="s">
        <v>80</v>
      </c>
      <c r="K16" s="19" t="s">
        <v>81</v>
      </c>
      <c r="L16" s="19" t="s">
        <v>82</v>
      </c>
      <c r="M16" s="19" t="s">
        <v>61</v>
      </c>
      <c r="N16" s="31" t="s">
        <v>20</v>
      </c>
    </row>
  </sheetData>
  <conditionalFormatting sqref="G5:G16">
    <cfRule type="colorScale" priority="10">
      <colorScale>
        <cfvo type="min"/>
        <cfvo type="percentile" val="50"/>
        <cfvo type="max"/>
        <color rgb="FFFFE699"/>
        <color rgb="FFFFC000"/>
        <color rgb="FFFF5050"/>
      </colorScale>
    </cfRule>
  </conditionalFormatting>
  <conditionalFormatting sqref="H5:H16">
    <cfRule type="cellIs" dxfId="4" priority="3" operator="equal">
      <formula>IF(G5&gt;=15,"Crítico")</formula>
    </cfRule>
  </conditionalFormatting>
  <conditionalFormatting sqref="H8:H16">
    <cfRule type="cellIs" dxfId="3" priority="2" operator="equal">
      <formula>IF(G5&gt;=10,"Alto")</formula>
    </cfRule>
    <cfRule type="cellIs" dxfId="2" priority="1" operator="equal">
      <formula>IF(G5&gt;=5,"Medio","Bajo")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6"/>
  <sheetViews>
    <sheetView zoomScaleNormal="100" workbookViewId="0">
      <selection activeCell="F6" sqref="F6"/>
    </sheetView>
  </sheetViews>
  <sheetFormatPr baseColWidth="10" defaultColWidth="8.7109375" defaultRowHeight="15" x14ac:dyDescent="0.25"/>
  <cols>
    <col min="2" max="2" width="16" customWidth="1"/>
    <col min="3" max="3" width="15.85546875" bestFit="1" customWidth="1"/>
    <col min="4" max="4" width="9.42578125" bestFit="1" customWidth="1"/>
    <col min="5" max="5" width="12.85546875" bestFit="1" customWidth="1"/>
    <col min="6" max="6" width="22" customWidth="1"/>
    <col min="7" max="7" width="14.42578125" bestFit="1" customWidth="1"/>
    <col min="10" max="10" width="10.42578125" customWidth="1"/>
  </cols>
  <sheetData>
    <row r="2" spans="2:10" x14ac:dyDescent="0.25">
      <c r="B2" s="3" t="s">
        <v>83</v>
      </c>
      <c r="C2" s="4">
        <v>1</v>
      </c>
      <c r="D2" s="5">
        <v>2</v>
      </c>
      <c r="E2" s="6">
        <v>3</v>
      </c>
      <c r="F2" s="7">
        <v>4</v>
      </c>
      <c r="G2" s="8">
        <v>5</v>
      </c>
    </row>
    <row r="3" spans="2:10" x14ac:dyDescent="0.25">
      <c r="B3" s="9">
        <v>5</v>
      </c>
      <c r="C3" s="10" t="str">
        <f t="array" ref="C3">_xlfn.TEXTJOIN(", ",TRUE(),IF((Matriz!$E$5:$E$16=$B3)*(Matriz!$F$5:$F$16=C$2),Matriz!$B$5:$B$16,""))</f>
        <v/>
      </c>
      <c r="D3" s="11" t="str">
        <f t="array" ref="D3">_xlfn.TEXTJOIN(", ",TRUE(),IF((Matriz!$E$5:$E$16=$B3)*(Matriz!$F$5:$F$16=D$2),Matriz!$B$5:$B$16,""))</f>
        <v/>
      </c>
      <c r="E3" s="12" t="str">
        <f t="array" ref="E3">_xlfn.TEXTJOIN(", ",TRUE(),IF((Matriz!$E$5:$E$16=$B3)*(Matriz!$F$5:$F$16=E$2),Matriz!$B$5:$B$16,""))</f>
        <v/>
      </c>
      <c r="F3" s="12" t="str">
        <f t="array" ref="F3">_xlfn.TEXTJOIN(", ",TRUE(),IF((Matriz!$E$5:$E$16=$B3)*(Matriz!$F$5:$F$16=F$2),Matriz!$B$5:$B$16,""))</f>
        <v/>
      </c>
      <c r="G3" s="12" t="str">
        <f t="array" ref="G3">_xlfn.TEXTJOIN(", ",TRUE(),IF((Matriz!$E$5:$E$16=$B3)*(Matriz!$F$5:$F$16=G$2),Matriz!$B$5:$B$16,""))</f>
        <v/>
      </c>
    </row>
    <row r="4" spans="2:10" x14ac:dyDescent="0.25">
      <c r="B4" s="13">
        <v>4</v>
      </c>
      <c r="C4" s="14" t="str">
        <f t="array" ref="C4">_xlfn.TEXTJOIN(", ",TRUE(),IF((Matriz!$E$5:$E$16=$B4)*(Matriz!$F$5:$F$16=C$2),Matriz!$B$5:$B$16,""))</f>
        <v/>
      </c>
      <c r="D4" s="10" t="str">
        <f t="array" ref="D4">_xlfn.TEXTJOIN(", ",TRUE(),IF((Matriz!$E$5:$E$16=$B4)*(Matriz!$F$5:$F$16=D$2),Matriz!$B$5:$B$16,""))</f>
        <v/>
      </c>
      <c r="E4" s="11" t="s">
        <v>98</v>
      </c>
      <c r="F4" s="12" t="s">
        <v>13</v>
      </c>
      <c r="G4" s="12" t="str">
        <f t="array" ref="G4">_xlfn.TEXTJOIN(", ",TRUE(),IF((Matriz!$E$5:$E$16=$B4)*(Matriz!$F$5:$F$16=G$2),Matriz!$B$5:$B$16,""))</f>
        <v/>
      </c>
    </row>
    <row r="5" spans="2:10" ht="25.5" x14ac:dyDescent="0.25">
      <c r="B5" s="15">
        <v>3</v>
      </c>
      <c r="C5" s="14" t="str">
        <f t="array" ref="C5">_xlfn.TEXTJOIN(", ",TRUE(),IF((Matriz!$E$5:$E$16=$B5)*(Matriz!$F$5:$F$16=C$2),Matriz!$B$5:$B$16,""))</f>
        <v/>
      </c>
      <c r="D5" s="10" t="str">
        <f t="array" ref="D5">_xlfn.TEXTJOIN(", ",TRUE(),IF((Matriz!$E$5:$E$16=$B5)*(Matriz!$F$5:$F$16=D$2),Matriz!$B$5:$B$16,""))</f>
        <v/>
      </c>
      <c r="E5" s="10" t="s">
        <v>99</v>
      </c>
      <c r="F5" s="11" t="s">
        <v>101</v>
      </c>
      <c r="G5" s="12" t="s">
        <v>100</v>
      </c>
    </row>
    <row r="6" spans="2:10" x14ac:dyDescent="0.25">
      <c r="B6" s="16">
        <v>2</v>
      </c>
      <c r="C6" s="14" t="str">
        <f t="array" ref="C6">_xlfn.TEXTJOIN(", ",TRUE(),IF((Matriz!$E$5:$E$16=$B6)*(Matriz!$F$5:$F$16=C$2),Matriz!$B$5:$B$16,""))</f>
        <v/>
      </c>
      <c r="D6" s="14" t="str">
        <f t="array" ref="D6">_xlfn.TEXTJOIN(", ",TRUE(),IF((Matriz!$E$5:$E$16=$B6)*(Matriz!$F$5:$F$16=D$2),Matriz!$B$5:$B$16,""))</f>
        <v/>
      </c>
      <c r="E6" s="10" t="str">
        <f t="array" ref="E6">_xlfn.TEXTJOIN(", ",TRUE(),IF((Matriz!$E$5:$E$16=$B6)*(Matriz!$F$5:$F$16=E$2),Matriz!$B$5:$B$16,""))</f>
        <v/>
      </c>
      <c r="F6" s="10" t="str">
        <f t="array" ref="F6">_xlfn.TEXTJOIN(", ",TRUE(),IF((Matriz!$E$5:$E$16=$B6)*(Matriz!$F$5:$F$16=F$2),Matriz!$B$5:$B$16,""))</f>
        <v/>
      </c>
      <c r="G6" s="11" t="str">
        <f t="array" ref="G6">_xlfn.TEXTJOIN(", ",TRUE(),IF((Matriz!$E$5:$E$16=$B6)*(Matriz!$F$5:$F$16=G$2),Matriz!$B$5:$B$16,""))</f>
        <v/>
      </c>
    </row>
    <row r="7" spans="2:10" x14ac:dyDescent="0.25">
      <c r="B7" s="17">
        <v>1</v>
      </c>
      <c r="C7" s="14" t="str">
        <f t="array" ref="C7">_xlfn.TEXTJOIN(", ",TRUE(),IF((Matriz!$E$5:$E$16=$B7)*(Matriz!$F$5:$F$16=C$2),Matriz!$B$5:$B$16,""))</f>
        <v/>
      </c>
      <c r="D7" s="14" t="str">
        <f t="array" ref="D7">_xlfn.TEXTJOIN(", ",TRUE(),IF((Matriz!$E$5:$E$16=$B7)*(Matriz!$F$5:$F$16=D$2),Matriz!$B$5:$B$16,""))</f>
        <v/>
      </c>
      <c r="E7" s="14" t="str">
        <f t="array" ref="E7">_xlfn.TEXTJOIN(", ",TRUE(),IF((Matriz!$E$5:$E$16=$B7)*(Matriz!$F$5:$F$16=E$2),Matriz!$B$5:$B$16,""))</f>
        <v/>
      </c>
      <c r="F7" s="14" t="str">
        <f t="array" ref="F7">_xlfn.TEXTJOIN(", ",TRUE(),IF((Matriz!$E$5:$E$16=$B7)*(Matriz!$F$5:$F$16=F$2),Matriz!$B$5:$B$16,""))</f>
        <v/>
      </c>
      <c r="G7" s="10" t="str">
        <f t="array" ref="G7">_xlfn.TEXTJOIN(", ",TRUE(),IF((Matriz!$E$5:$E$16=$B7)*(Matriz!$F$5:$F$16=G$2),Matriz!$B$5:$B$16,""))</f>
        <v/>
      </c>
    </row>
    <row r="9" spans="2:10" hidden="1" x14ac:dyDescent="0.25">
      <c r="B9" s="2" t="s">
        <v>84</v>
      </c>
    </row>
    <row r="16" spans="2:10" x14ac:dyDescent="0.25">
      <c r="J16" t="str">
        <f>_xlfn.CONCAT(I16,I17,I19,I20,I21)</f>
        <v/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Mapa de calor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darwin garcia</cp:lastModifiedBy>
  <cp:revision>0</cp:revision>
  <dcterms:created xsi:type="dcterms:W3CDTF">2026-10-28T22:55:18Z</dcterms:created>
  <dcterms:modified xsi:type="dcterms:W3CDTF">2026-10-28T23:41:56Z</dcterms:modified>
  <dc:language>en-US</dc:language>
</cp:coreProperties>
</file>